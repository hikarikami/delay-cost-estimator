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drawings/drawing1.xml" ContentType="application/vnd.openxmlformats-officedocument.drawing+xml"/>
  <Override PartName="/xl/tables/table6.xml" ContentType="application/vnd.openxmlformats-officedocument.spreadsheetml.table+xml"/>
  <Override PartName="/xl/tables/table7.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11"/>
  <workbookPr/>
  <mc:AlternateContent xmlns:mc="http://schemas.openxmlformats.org/markup-compatibility/2006">
    <mc:Choice Requires="x15">
      <x15ac:absPath xmlns:x15ac="http://schemas.microsoft.com/office/spreadsheetml/2010/11/ac" url="https://aplodesigncomau-my.sharepoint.com/personal/charlotte_meszaros_aplodigital_com_au/Documents/"/>
    </mc:Choice>
  </mc:AlternateContent>
  <xr:revisionPtr revIDLastSave="0" documentId="8_{32598502-D767-4F02-B0DE-5A0D82B1CEC0}" xr6:coauthVersionLast="47" xr6:coauthVersionMax="47" xr10:uidLastSave="{00000000-0000-0000-0000-000000000000}"/>
  <bookViews>
    <workbookView xWindow="0" yWindow="660" windowWidth="30240" windowHeight="18980" firstSheet="1" activeTab="1" xr2:uid="{89A839BB-0414-D248-B6DD-DAA42AB7A502}"/>
  </bookViews>
  <sheets>
    <sheet name="CD3" sheetId="1" r:id="rId1"/>
    <sheet name="Advanced NVP"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8" i="2" l="1"/>
  <c r="M9" i="2"/>
  <c r="M10" i="2"/>
  <c r="M11" i="2"/>
  <c r="L9" i="2"/>
  <c r="L10" i="2"/>
  <c r="L11" i="2"/>
  <c r="K9" i="2"/>
  <c r="K10" i="2"/>
  <c r="K11" i="2"/>
  <c r="I9" i="2"/>
  <c r="I10" i="2"/>
  <c r="I11" i="2"/>
  <c r="I8" i="2"/>
  <c r="H8" i="2"/>
  <c r="H9" i="2"/>
  <c r="J9" i="2" s="1"/>
  <c r="H10" i="2"/>
  <c r="J10" i="2" s="1"/>
  <c r="H11" i="2"/>
  <c r="J11" i="2" s="1"/>
  <c r="C5" i="2"/>
  <c r="D4" i="1"/>
  <c r="E60" i="1"/>
  <c r="E59" i="1"/>
  <c r="E58" i="1"/>
  <c r="B63" i="1" s="1"/>
  <c r="E57" i="1"/>
  <c r="D45" i="1"/>
  <c r="B62" i="1"/>
  <c r="D47" i="1"/>
  <c r="D46" i="1"/>
  <c r="D44" i="1"/>
  <c r="B49" i="1"/>
  <c r="B37" i="1"/>
  <c r="D34" i="1"/>
  <c r="D33" i="1"/>
  <c r="D32" i="1"/>
  <c r="D31" i="1"/>
  <c r="B23" i="1"/>
  <c r="C21" i="1"/>
  <c r="B21" i="1"/>
  <c r="D20" i="1"/>
  <c r="D19" i="1"/>
  <c r="D18" i="1"/>
  <c r="D17" i="1"/>
  <c r="D5" i="1"/>
  <c r="D6" i="1"/>
  <c r="D7" i="1"/>
  <c r="M8" i="2" l="1"/>
  <c r="L8" i="2"/>
  <c r="K8" i="2"/>
  <c r="B24" i="1"/>
  <c r="B50" i="1"/>
  <c r="B36" i="1"/>
</calcChain>
</file>

<file path=xl/sharedStrings.xml><?xml version="1.0" encoding="utf-8"?>
<sst xmlns="http://schemas.openxmlformats.org/spreadsheetml/2006/main" count="94" uniqueCount="44">
  <si>
    <t>Initative</t>
  </si>
  <si>
    <t>Estimated effort (in weeks)</t>
  </si>
  <si>
    <t>One-time value ($)</t>
  </si>
  <si>
    <t>CD3 - Cost of Delay / Duration</t>
  </si>
  <si>
    <t>A</t>
  </si>
  <si>
    <t>B</t>
  </si>
  <si>
    <t>C</t>
  </si>
  <si>
    <t>D</t>
  </si>
  <si>
    <t>Scenario 1: No priority</t>
  </si>
  <si>
    <t>Do everything at once and complete them all at the same time</t>
  </si>
  <si>
    <t>If you work on all of the features at once, it will be 24 weeks until you see any value. Therefore, you eat the value of each feature for the full 24 weeks. That means you lose the entire $18,000 each week for 24 weeks, for a total of $432,000 Cost of Delay.</t>
  </si>
  <si>
    <t>Total</t>
  </si>
  <si>
    <t>Total time to value</t>
  </si>
  <si>
    <t>Cost of Delay</t>
  </si>
  <si>
    <t>Scenario 2: Duration priority</t>
  </si>
  <si>
    <t>Do the shortest duration first, then the next and so on.</t>
  </si>
  <si>
    <t>You would delay realising the value of each feature until it and any features that come before it are delivered. That works out to a total Cost of Delay of $301,000, calculated as follows</t>
  </si>
  <si>
    <t>Cost</t>
  </si>
  <si>
    <t>Scenario 3: Value priority</t>
  </si>
  <si>
    <t>Do the highest value first, then the next and so on.</t>
  </si>
  <si>
    <t>You would delay realising the value of each feature until it and any features that come before it are delivered. That works out to a total Cost of Delay of $259,500, calculated as follows:</t>
  </si>
  <si>
    <t>Scenario 4: CD3 Option</t>
  </si>
  <si>
    <t>Do the highest CD3 value first, then the next and so on.</t>
  </si>
  <si>
    <t>CD3</t>
  </si>
  <si>
    <t>Compare Options</t>
  </si>
  <si>
    <t>Comparing your options side by side, you have an easy choice when it comes to Cost of Delay, with the CD3 prioritisation option costing the least amount of money.</t>
  </si>
  <si>
    <t>Prioritisation Option</t>
  </si>
  <si>
    <t>Assumptions</t>
  </si>
  <si>
    <t>Data</t>
  </si>
  <si>
    <t>Analysis horizon</t>
  </si>
  <si>
    <t>How far out to count recurring benefits.</t>
  </si>
  <si>
    <t>Annual decay rate</t>
  </si>
  <si>
    <t>Used to PV benefits/costs from delay.</t>
  </si>
  <si>
    <t>Weekly decay rate</t>
  </si>
  <si>
    <t>Derived: (1+annual)^(1/52)-1.</t>
  </si>
  <si>
    <t>Probability of success (%)</t>
  </si>
  <si>
    <t>Recurring value ($)</t>
  </si>
  <si>
    <t>Recurring penalty ($)</t>
  </si>
  <si>
    <t>Cost of delay per week</t>
  </si>
  <si>
    <t>One-time delivery benefit ($)</t>
  </si>
  <si>
    <t>CD3 Value</t>
  </si>
  <si>
    <t>Delay + (4 weeks)</t>
  </si>
  <si>
    <t>Delay + (8 weeks)</t>
  </si>
  <si>
    <t>Delay + (12 weeks)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</si>
</sst>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_(&quot;$&quot;* #,##0_);_(&quot;$&quot;* \(#,##0\);_(&quot;$&quot;* &quot;-&quot;??_);_(@_)"/>
    <numFmt numFmtId="165" formatCode="0.0%"/>
    <numFmt numFmtId="166" formatCode="0.0"/>
  </numFmts>
  <fonts count="7">
    <font>
      <sz val="10"/>
      <color theme="1"/>
      <name val="ArialMT"/>
      <family val="2"/>
    </font>
    <font>
      <sz val="10"/>
      <color theme="1"/>
      <name val="ArialMT"/>
      <family val="2"/>
    </font>
    <font>
      <b/>
      <sz val="10"/>
      <color theme="1"/>
      <name val="ArialMT"/>
    </font>
    <font>
      <sz val="10"/>
      <color theme="1"/>
      <name val="ArialMT"/>
    </font>
    <font>
      <sz val="10"/>
      <color rgb="FF000000"/>
      <name val="ArialMT"/>
      <family val="2"/>
    </font>
    <font>
      <i/>
      <sz val="10"/>
      <color theme="1"/>
      <name val="ArialMT"/>
    </font>
    <font>
      <sz val="8"/>
      <name val="ArialMT"/>
      <family val="2"/>
    </font>
  </fonts>
  <fills count="2">
    <fill>
      <patternFill patternType="none"/>
    </fill>
    <fill>
      <patternFill patternType="gray125"/>
    </fill>
  </fills>
  <borders count="1">
    <border>
      <left/>
      <right/>
      <top/>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13">
    <xf numFmtId="0" fontId="0" fillId="0" borderId="0" xfId="0"/>
    <xf numFmtId="164" fontId="0" fillId="0" borderId="0" xfId="1" applyNumberFormat="1" applyFont="1"/>
    <xf numFmtId="164" fontId="0" fillId="0" borderId="0" xfId="0" applyNumberFormat="1"/>
    <xf numFmtId="0" fontId="2" fillId="0" borderId="0" xfId="0" applyFont="1"/>
    <xf numFmtId="164" fontId="2" fillId="0" borderId="0" xfId="0" applyNumberFormat="1" applyFont="1"/>
    <xf numFmtId="0" fontId="3" fillId="0" borderId="0" xfId="0" applyFont="1"/>
    <xf numFmtId="0" fontId="4" fillId="0" borderId="0" xfId="0" applyFont="1"/>
    <xf numFmtId="0" fontId="0" fillId="0" borderId="0" xfId="0" applyAlignment="1">
      <alignment wrapText="1"/>
    </xf>
    <xf numFmtId="9" fontId="0" fillId="0" borderId="0" xfId="0" applyNumberFormat="1"/>
    <xf numFmtId="166" fontId="0" fillId="0" borderId="0" xfId="0" applyNumberFormat="1"/>
    <xf numFmtId="9" fontId="0" fillId="0" borderId="0" xfId="2" applyFont="1"/>
    <xf numFmtId="165" fontId="0" fillId="0" borderId="0" xfId="2" applyNumberFormat="1" applyFont="1"/>
    <xf numFmtId="0" fontId="5" fillId="0" borderId="0" xfId="0" applyFont="1"/>
  </cellXfs>
  <cellStyles count="3">
    <cellStyle name="Currency" xfId="1" builtinId="4"/>
    <cellStyle name="Normal" xfId="0" builtinId="0"/>
    <cellStyle name="Per cent" xfId="2" builtinId="5"/>
  </cellStyles>
  <dxfs count="19">
    <dxf>
      <numFmt numFmtId="164" formatCode="_(&quot;$&quot;* #,##0_);_(&quot;$&quot;* \(#,##0\);_(&quot;$&quot;* &quot;-&quot;??_);_(@_)"/>
    </dxf>
    <dxf>
      <numFmt numFmtId="164" formatCode="_(&quot;$&quot;* #,##0_);_(&quot;$&quot;* \(#,##0\);_(&quot;$&quot;* &quot;-&quot;??_);_(@_)"/>
    </dxf>
    <dxf>
      <numFmt numFmtId="164" formatCode="_(&quot;$&quot;* #,##0_);_(&quot;$&quot;* \(#,##0\);_(&quot;$&quot;* &quot;-&quot;??_);_(@_)"/>
    </dxf>
    <dxf>
      <numFmt numFmtId="166" formatCode="0.0"/>
    </dxf>
    <dxf>
      <numFmt numFmtId="164" formatCode="_(&quot;$&quot;* #,##0_);_(&quot;$&quot;* \(#,##0\);_(&quot;$&quot;* &quot;-&quot;??_);_(@_)"/>
    </dxf>
    <dxf>
      <numFmt numFmtId="164" formatCode="_(&quot;$&quot;* #,##0_);_(&quot;$&quot;* \(#,##0\);_(&quot;$&quot;* &quot;-&quot;??_);_(@_)"/>
    </dxf>
    <dxf>
      <font>
        <b val="0"/>
        <i val="0"/>
        <strike val="0"/>
        <condense val="0"/>
        <extend val="0"/>
        <outline val="0"/>
        <shadow val="0"/>
        <u val="none"/>
        <vertAlign val="baseline"/>
        <sz val="10"/>
        <color theme="1"/>
        <name val="ArialMT"/>
        <family val="2"/>
        <scheme val="none"/>
      </font>
      <numFmt numFmtId="164" formatCode="_(&quot;$&quot;* #,##0_);_(&quot;$&quot;* \(#,##0\);_(&quot;$&quot;* &quot;-&quot;??_);_(@_)"/>
    </dxf>
    <dxf>
      <numFmt numFmtId="164" formatCode="_(&quot;$&quot;* #,##0_);_(&quot;$&quot;* \(#,##0\);_(&quot;$&quot;* &quot;-&quot;??_);_(@_)"/>
    </dxf>
    <dxf>
      <numFmt numFmtId="164" formatCode="_(&quot;$&quot;* #,##0_);_(&quot;$&quot;* \(#,##0\);_(&quot;$&quot;* &quot;-&quot;??_);_(@_)"/>
    </dxf>
    <dxf>
      <font>
        <b val="0"/>
        <i val="0"/>
        <strike val="0"/>
        <condense val="0"/>
        <extend val="0"/>
        <outline val="0"/>
        <shadow val="0"/>
        <u val="none"/>
        <vertAlign val="baseline"/>
        <sz val="10"/>
        <color theme="1"/>
        <name val="ArialMT"/>
        <scheme val="none"/>
      </font>
    </dxf>
    <dxf>
      <numFmt numFmtId="0" formatCode="General"/>
    </dxf>
    <dxf>
      <font>
        <b val="0"/>
        <i val="0"/>
        <strike val="0"/>
        <condense val="0"/>
        <extend val="0"/>
        <outline val="0"/>
        <shadow val="0"/>
        <u val="none"/>
        <vertAlign val="baseline"/>
        <sz val="10"/>
        <color theme="1"/>
        <name val="ArialMT"/>
        <family val="2"/>
        <scheme val="none"/>
      </font>
      <numFmt numFmtId="164" formatCode="_(&quot;$&quot;* #,##0_);_(&quot;$&quot;* \(#,##0\);_(&quot;$&quot;* &quot;-&quot;??_);_(@_)"/>
    </dxf>
    <dxf>
      <numFmt numFmtId="164" formatCode="_(&quot;$&quot;* #,##0_);_(&quot;$&quot;* \(#,##0\);_(&quot;$&quot;* &quot;-&quot;??_);_(@_)"/>
    </dxf>
    <dxf>
      <numFmt numFmtId="164" formatCode="_(&quot;$&quot;* #,##0_);_(&quot;$&quot;* \(#,##0\);_(&quot;$&quot;* &quot;-&quot;??_);_(@_)"/>
    </dxf>
    <dxf>
      <font>
        <b val="0"/>
        <i val="0"/>
        <strike val="0"/>
        <condense val="0"/>
        <extend val="0"/>
        <outline val="0"/>
        <shadow val="0"/>
        <u val="none"/>
        <vertAlign val="baseline"/>
        <sz val="10"/>
        <color theme="1"/>
        <name val="ArialMT"/>
        <family val="2"/>
        <scheme val="none"/>
      </font>
      <numFmt numFmtId="164" formatCode="_(&quot;$&quot;* #,##0_);_(&quot;$&quot;* \(#,##0\);_(&quot;$&quot;* &quot;-&quot;??_);_(@_)"/>
    </dxf>
    <dxf>
      <numFmt numFmtId="0" formatCode="General"/>
    </dxf>
    <dxf>
      <font>
        <b val="0"/>
        <i val="0"/>
        <strike val="0"/>
        <condense val="0"/>
        <extend val="0"/>
        <outline val="0"/>
        <shadow val="0"/>
        <u val="none"/>
        <vertAlign val="baseline"/>
        <sz val="10"/>
        <color theme="1"/>
        <name val="ArialMT"/>
        <family val="2"/>
        <scheme val="none"/>
      </font>
      <numFmt numFmtId="164" formatCode="_(&quot;$&quot;* #,##0_);_(&quot;$&quot;* \(#,##0\);_(&quot;$&quot;* &quot;-&quot;??_);_(@_)"/>
    </dxf>
    <dxf>
      <numFmt numFmtId="0" formatCode="General"/>
    </dxf>
    <dxf>
      <font>
        <b val="0"/>
        <i val="0"/>
        <strike val="0"/>
        <condense val="0"/>
        <extend val="0"/>
        <outline val="0"/>
        <shadow val="0"/>
        <u val="none"/>
        <vertAlign val="baseline"/>
        <sz val="10"/>
        <color theme="1"/>
        <name val="ArialMT"/>
        <family val="2"/>
        <scheme val="none"/>
      </font>
      <numFmt numFmtId="164"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1</xdr:col>
      <xdr:colOff>0</xdr:colOff>
      <xdr:row>12</xdr:row>
      <xdr:rowOff>0</xdr:rowOff>
    </xdr:from>
    <xdr:ext cx="7325508" cy="10425931"/>
    <xdr:sp macro="" textlink="">
      <xdr:nvSpPr>
        <xdr:cNvPr id="2" name="TextBox 1">
          <a:extLst>
            <a:ext uri="{FF2B5EF4-FFF2-40B4-BE49-F238E27FC236}">
              <a16:creationId xmlns:a16="http://schemas.microsoft.com/office/drawing/2014/main" id="{C4B165D8-70C8-8018-E96F-3F077EA786F7}"/>
            </a:ext>
          </a:extLst>
        </xdr:cNvPr>
        <xdr:cNvSpPr txBox="1"/>
      </xdr:nvSpPr>
      <xdr:spPr>
        <a:xfrm>
          <a:off x="828261" y="1987826"/>
          <a:ext cx="7325508" cy="10425931"/>
        </a:xfrm>
        <a:prstGeom prst="rect">
          <a:avLst/>
        </a:prstGeom>
        <a:solidFill>
          <a:schemeClr val="accent2">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GB" sz="1100" b="1"/>
            <a:t>How to read this model: The true cost</a:t>
          </a:r>
          <a:r>
            <a:rPr lang="en-GB" sz="1100" b="1" baseline="0"/>
            <a:t> of delay</a:t>
          </a:r>
          <a:endParaRPr lang="en-GB" sz="1100" b="1"/>
        </a:p>
        <a:p>
          <a:endParaRPr lang="en-GB" sz="1100"/>
        </a:p>
        <a:p>
          <a:r>
            <a:rPr lang="en-GB" sz="1100" b="1"/>
            <a:t>WHAT THIS TOOL DOES </a:t>
          </a:r>
          <a:br>
            <a:rPr lang="en-GB" sz="1100"/>
          </a:br>
          <a:r>
            <a:rPr lang="en-GB" sz="1100"/>
            <a:t>This calculator shows the real economic impact of</a:t>
          </a:r>
          <a:r>
            <a:rPr lang="en-GB" sz="1100" baseline="0"/>
            <a:t> </a:t>
          </a:r>
          <a:r>
            <a:rPr lang="en-GB" sz="1100"/>
            <a:t>waiting to start an initiative. It answers one simple question: If we</a:t>
          </a:r>
          <a:r>
            <a:rPr lang="en-GB" sz="1100" baseline="0"/>
            <a:t> </a:t>
          </a:r>
          <a:r>
            <a:rPr lang="en-GB" sz="1100"/>
            <a:t>delay this work by 4, 8 or 12 weeks, what does that cost us in today’s</a:t>
          </a:r>
        </a:p>
        <a:p>
          <a:r>
            <a:rPr lang="en-GB" sz="1100"/>
            <a:t>dollars?</a:t>
          </a:r>
        </a:p>
        <a:p>
          <a:endParaRPr lang="en-GB" sz="1100"/>
        </a:p>
        <a:p>
          <a:r>
            <a:rPr lang="en-GB" sz="1100" b="1"/>
            <a:t>WHAT GOES INTO THE MODEL</a:t>
          </a:r>
          <a:br>
            <a:rPr lang="en-GB" sz="1100"/>
          </a:br>
          <a:r>
            <a:rPr lang="en-GB" sz="1100"/>
            <a:t>Each initiative is assessed using four inputs.</a:t>
          </a:r>
        </a:p>
        <a:p>
          <a:endParaRPr lang="en-GB" sz="1100"/>
        </a:p>
        <a:p>
          <a:r>
            <a:rPr lang="en-GB" sz="1100" b="1"/>
            <a:t>1.  Weekly impact</a:t>
          </a:r>
        </a:p>
        <a:p>
          <a:r>
            <a:rPr lang="en-GB" sz="1100"/>
            <a:t>The value we gain or pain we avoid each week once thinitiative is delivered.</a:t>
          </a:r>
        </a:p>
        <a:p>
          <a:endParaRPr lang="en-GB" sz="1100"/>
        </a:p>
        <a:p>
          <a:r>
            <a:rPr lang="en-GB" sz="1100" b="1"/>
            <a:t>2.  Probability of success</a:t>
          </a:r>
          <a:br>
            <a:rPr lang="en-GB" sz="1100"/>
          </a:br>
          <a:r>
            <a:rPr lang="en-GB" sz="1100"/>
            <a:t>We use expected value, not best-case</a:t>
          </a:r>
          <a:r>
            <a:rPr lang="en-GB" sz="1100" baseline="0"/>
            <a:t> </a:t>
          </a:r>
          <a:r>
            <a:rPr lang="en-GB" sz="1100"/>
            <a:t>scenarios.</a:t>
          </a:r>
        </a:p>
        <a:p>
          <a:endParaRPr lang="en-GB" sz="1100"/>
        </a:p>
        <a:p>
          <a:r>
            <a:rPr lang="en-GB" sz="1100" b="1"/>
            <a:t>3.  One-off benefit</a:t>
          </a:r>
          <a:br>
            <a:rPr lang="en-GB" sz="1100"/>
          </a:br>
          <a:r>
            <a:rPr lang="en-GB" sz="1100"/>
            <a:t>Any single, material gain that only happens at</a:t>
          </a:r>
          <a:r>
            <a:rPr lang="en-GB" sz="1100" baseline="0"/>
            <a:t> </a:t>
          </a:r>
          <a:r>
            <a:rPr lang="en-GB" sz="1100"/>
            <a:t>delivery. Examples include a contract renewal, licence saving or</a:t>
          </a:r>
          <a:r>
            <a:rPr lang="en-GB" sz="1100" baseline="0"/>
            <a:t> </a:t>
          </a:r>
          <a:r>
            <a:rPr lang="en-GB" sz="1100"/>
            <a:t>avoided fine.</a:t>
          </a:r>
        </a:p>
        <a:p>
          <a:endParaRPr lang="en-GB" sz="1100"/>
        </a:p>
        <a:p>
          <a:r>
            <a:rPr lang="en-GB" sz="1100" b="1"/>
            <a:t>4.  Time value of money</a:t>
          </a:r>
          <a:br>
            <a:rPr lang="en-GB" sz="1100"/>
          </a:br>
          <a:r>
            <a:rPr lang="en-GB" sz="1100"/>
            <a:t>Value received later is worth slightly less than</a:t>
          </a:r>
          <a:r>
            <a:rPr lang="en-GB" sz="1100" baseline="0"/>
            <a:t> </a:t>
          </a:r>
          <a:r>
            <a:rPr lang="en-GB" sz="1100"/>
            <a:t>value received today, so future benefits are adjusted back to</a:t>
          </a:r>
          <a:r>
            <a:rPr lang="en-GB" sz="1100" baseline="0"/>
            <a:t> </a:t>
          </a:r>
          <a:r>
            <a:rPr lang="en-GB" sz="1100"/>
            <a:t>today’s dollars.</a:t>
          </a:r>
        </a:p>
        <a:p>
          <a:endParaRPr lang="en-GB" sz="1100"/>
        </a:p>
        <a:p>
          <a:r>
            <a:rPr lang="en-GB" sz="1100" b="1"/>
            <a:t>WHAT THE KEY NUMBERS MEAN</a:t>
          </a:r>
        </a:p>
        <a:p>
          <a:endParaRPr lang="en-GB" sz="1100"/>
        </a:p>
        <a:p>
          <a:r>
            <a:rPr lang="en-GB" sz="1100" b="1"/>
            <a:t>Cost of delay per week </a:t>
          </a:r>
          <a:br>
            <a:rPr lang="en-GB" sz="1100"/>
          </a:br>
          <a:r>
            <a:rPr lang="en-GB" sz="1100"/>
            <a:t>This is the weekly value we lose by waiting,</a:t>
          </a:r>
          <a:r>
            <a:rPr lang="en-GB" sz="1100" baseline="0"/>
            <a:t> </a:t>
          </a:r>
          <a:r>
            <a:rPr lang="en-GB" sz="1100"/>
            <a:t>adjusted for risk. It shows the ongoing pain of delay.</a:t>
          </a:r>
        </a:p>
        <a:p>
          <a:endParaRPr lang="en-GB" sz="1100"/>
        </a:p>
        <a:p>
          <a:r>
            <a:rPr lang="en-GB" sz="1100" b="1"/>
            <a:t>One-time delivery benefit (NPV) </a:t>
          </a:r>
          <a:br>
            <a:rPr lang="en-GB" sz="1100"/>
          </a:br>
          <a:r>
            <a:rPr lang="en-GB" sz="1100"/>
            <a:t>This is the one-off value of delivery,</a:t>
          </a:r>
          <a:r>
            <a:rPr lang="en-GB" sz="1100" baseline="0"/>
            <a:t> </a:t>
          </a:r>
          <a:r>
            <a:rPr lang="en-GB" sz="1100"/>
            <a:t>shown in today’s dollars. It is not spread across weeks. It happens</a:t>
          </a:r>
          <a:r>
            <a:rPr lang="en-GB" sz="1100" baseline="0"/>
            <a:t> </a:t>
          </a:r>
          <a:r>
            <a:rPr lang="en-GB" sz="1100"/>
            <a:t>once, at go-live.</a:t>
          </a:r>
        </a:p>
        <a:p>
          <a:endParaRPr lang="en-GB" sz="1100"/>
        </a:p>
        <a:p>
          <a:r>
            <a:rPr lang="en-GB" sz="1100" b="1"/>
            <a:t>Delay plus 4, 8 and 12 weeks </a:t>
          </a:r>
          <a:br>
            <a:rPr lang="en-GB" sz="1100" b="1"/>
          </a:br>
          <a:r>
            <a:rPr lang="en-GB" sz="1100"/>
            <a:t>These columns show the total economic</a:t>
          </a:r>
          <a:r>
            <a:rPr lang="en-GB" sz="1100" baseline="0"/>
            <a:t> </a:t>
          </a:r>
          <a:r>
            <a:rPr lang="en-GB" sz="1100"/>
            <a:t>impact of waiting that long, including: - the weekly value lost while we</a:t>
          </a:r>
          <a:r>
            <a:rPr lang="en-GB" sz="1100" baseline="0"/>
            <a:t> </a:t>
          </a:r>
          <a:r>
            <a:rPr lang="en-GB" sz="1100"/>
            <a:t>wait - the reduced value of the one-off benefit because it arrives later</a:t>
          </a:r>
        </a:p>
        <a:p>
          <a:endParaRPr lang="en-GB" sz="1100"/>
        </a:p>
        <a:p>
          <a:r>
            <a:rPr lang="en-GB" sz="1100" b="1"/>
            <a:t>HOW TO READ A ROW </a:t>
          </a:r>
          <a:br>
            <a:rPr lang="en-GB" sz="1100"/>
          </a:br>
          <a:r>
            <a:rPr lang="en-GB" sz="1100"/>
            <a:t>Take any initiative and read across.</a:t>
          </a:r>
        </a:p>
        <a:p>
          <a:endParaRPr lang="en-GB" sz="1100"/>
        </a:p>
        <a:p>
          <a:r>
            <a:rPr lang="en-GB" sz="1100"/>
            <a:t>Cost of delay per week tells you how expensive waiting is, week by week.</a:t>
          </a:r>
          <a:r>
            <a:rPr lang="en-GB" sz="1100" baseline="0"/>
            <a:t> </a:t>
          </a:r>
          <a:r>
            <a:rPr lang="en-GB" sz="1100"/>
            <a:t>Delay plus 4 weeks shows the impact of waiting one month. Delay plus 8</a:t>
          </a:r>
          <a:r>
            <a:rPr lang="en-GB" sz="1100" baseline="0"/>
            <a:t> </a:t>
          </a:r>
          <a:r>
            <a:rPr lang="en-GB" sz="1100"/>
            <a:t>weeks shows the impact of waiting two months. Delay plus 12 weeks shows</a:t>
          </a:r>
          <a:r>
            <a:rPr lang="en-GB" sz="1100" baseline="0"/>
            <a:t> t</a:t>
          </a:r>
          <a:r>
            <a:rPr lang="en-GB" sz="1100"/>
            <a:t>he impact of waiting three months.</a:t>
          </a:r>
        </a:p>
        <a:p>
          <a:endParaRPr lang="en-GB" sz="1100"/>
        </a:p>
        <a:p>
          <a:r>
            <a:rPr lang="en-GB" sz="1100"/>
            <a:t>The numbers grow because delay compounds.</a:t>
          </a:r>
        </a:p>
        <a:p>
          <a:endParaRPr lang="en-GB" sz="1100"/>
        </a:p>
        <a:p>
          <a:r>
            <a:rPr lang="en-GB" sz="1100"/>
            <a:t>HOW TO USE THIS IN DECISIONS</a:t>
          </a:r>
          <a:br>
            <a:rPr lang="en-GB" sz="1100"/>
          </a:br>
          <a:r>
            <a:rPr lang="en-GB" sz="1100"/>
            <a:t>Use this model to: </a:t>
          </a:r>
          <a:br>
            <a:rPr lang="en-GB" sz="1100"/>
          </a:br>
          <a:r>
            <a:rPr lang="en-GB" sz="1100"/>
            <a:t>-Compare which delays</a:t>
          </a:r>
          <a:r>
            <a:rPr lang="en-GB" sz="1100" baseline="0"/>
            <a:t> </a:t>
          </a:r>
          <a:r>
            <a:rPr lang="en-GB" sz="1100"/>
            <a:t>are most expensive, not just which work feels urgent. </a:t>
          </a:r>
          <a:br>
            <a:rPr lang="en-GB" sz="1100"/>
          </a:br>
          <a:r>
            <a:rPr lang="en-GB" sz="1100"/>
            <a:t>- Sequence</a:t>
          </a:r>
          <a:r>
            <a:rPr lang="en-GB" sz="1100" baseline="0"/>
            <a:t> </a:t>
          </a:r>
          <a:r>
            <a:rPr lang="en-GB" sz="1100"/>
            <a:t>initiatives by economic impact, not opinion. </a:t>
          </a:r>
          <a:br>
            <a:rPr lang="en-GB" sz="1100"/>
          </a:br>
          <a:r>
            <a:rPr lang="en-GB" sz="1100"/>
            <a:t>- Make trade-offs visible.</a:t>
          </a:r>
          <a:br>
            <a:rPr lang="en-GB" sz="1100"/>
          </a:br>
          <a:endParaRPr lang="en-GB" sz="1100"/>
        </a:p>
        <a:p>
          <a:r>
            <a:rPr lang="en-GB" sz="1100"/>
            <a:t>For example, if we choose to delay this by 8 weeks, we are choosing to</a:t>
          </a:r>
          <a:r>
            <a:rPr lang="en-GB" sz="1100" baseline="0"/>
            <a:t> </a:t>
          </a:r>
          <a:r>
            <a:rPr lang="en-GB" sz="1100"/>
            <a:t>give up about X dollars.</a:t>
          </a:r>
        </a:p>
        <a:p>
          <a:endParaRPr lang="en-GB" sz="1100"/>
        </a:p>
        <a:p>
          <a:r>
            <a:rPr lang="en-GB" sz="1100" b="1"/>
            <a:t>WHAT THIS IS NOT </a:t>
          </a:r>
          <a:br>
            <a:rPr lang="en-GB" sz="1100"/>
          </a:br>
          <a:r>
            <a:rPr lang="en-GB" sz="1100"/>
            <a:t>This is not a perfect financial forecast. It is a</a:t>
          </a:r>
        </a:p>
        <a:p>
          <a:r>
            <a:rPr lang="en-GB" sz="1100"/>
            <a:t>decision tool that makes the cost of waiting visible so teams and</a:t>
          </a:r>
        </a:p>
        <a:p>
          <a:r>
            <a:rPr lang="en-GB" sz="1100"/>
            <a:t>leaders can make better trade-offs.</a:t>
          </a:r>
        </a:p>
        <a:p>
          <a:endParaRPr lang="en-GB" sz="1100"/>
        </a:p>
        <a:p>
          <a:r>
            <a:rPr lang="en-GB" sz="1100" b="1"/>
            <a:t>ONE SENTENCE SUMMARY </a:t>
          </a:r>
        </a:p>
        <a:p>
          <a:r>
            <a:rPr lang="en-GB" sz="1100"/>
            <a:t>This model turns delay into a dollar figure so prioritisation becomes an economic decision, not a debate about urgency.</a:t>
          </a:r>
        </a:p>
      </xdr:txBody>
    </xdr:sp>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543F525-6268-804B-825E-1985B6909ACE}" name="Table1" displayName="Table1" ref="A30:D34" totalsRowShown="0">
  <autoFilter ref="A30:D34" xr:uid="{5543F525-6268-804B-825E-1985B6909ACE}"/>
  <sortState xmlns:xlrd2="http://schemas.microsoft.com/office/spreadsheetml/2017/richdata2" ref="A31:D34">
    <sortCondition ref="B30:B34"/>
  </sortState>
  <tableColumns count="4">
    <tableColumn id="1" xr3:uid="{FCE84104-A59E-BC47-9A9D-E1531A9D3394}" name="Initative"/>
    <tableColumn id="2" xr3:uid="{9514C8FF-82FA-D240-BD81-E124D051E573}" name="Estimated effort (in weeks)"/>
    <tableColumn id="3" xr3:uid="{EE69214B-8848-6546-9397-E8EB50E370C2}" name="One-time value ($)" dataDxfId="18" dataCellStyle="Currency"/>
    <tableColumn id="4" xr3:uid="{740ECAA3-C19E-0241-BFED-749C3DFFA0D2}" name="Cost" dataDxfId="1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5A6397A-6DB1-E64B-A105-3AD1A90615D2}" name="Table13" displayName="Table13" ref="A43:D47" totalsRowShown="0">
  <autoFilter ref="A43:D47" xr:uid="{05A6397A-6DB1-E64B-A105-3AD1A90615D2}"/>
  <sortState xmlns:xlrd2="http://schemas.microsoft.com/office/spreadsheetml/2017/richdata2" ref="A44:D47">
    <sortCondition descending="1" ref="C43:C47"/>
  </sortState>
  <tableColumns count="4">
    <tableColumn id="1" xr3:uid="{15E814A0-CD9C-164D-8CEE-ADEFDB24974D}" name="Initative"/>
    <tableColumn id="2" xr3:uid="{1BD297FE-712C-B242-B511-113D54503B9D}" name="Estimated effort (in weeks)"/>
    <tableColumn id="3" xr3:uid="{F0530EFC-FDAA-3F44-A50B-85FEF349D361}" name="One-time value ($)" dataDxfId="16" dataCellStyle="Currency"/>
    <tableColumn id="4" xr3:uid="{869D1D9A-9D60-E145-A82F-AE137D830AC9}" name="Cost" dataDxfId="15"/>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62DC00A-9F8D-D147-8649-8D89EBA63939}" name="Table134" displayName="Table134" ref="A56:E60" totalsRowShown="0">
  <autoFilter ref="A56:E60" xr:uid="{062DC00A-9F8D-D147-8649-8D89EBA63939}"/>
  <sortState xmlns:xlrd2="http://schemas.microsoft.com/office/spreadsheetml/2017/richdata2" ref="A57:D60">
    <sortCondition descending="1" ref="D56:D60"/>
  </sortState>
  <tableColumns count="5">
    <tableColumn id="1" xr3:uid="{6A522B89-2E08-8243-AE47-82DA8321C9E8}" name="Initative"/>
    <tableColumn id="2" xr3:uid="{5A9E5A15-B958-3B45-B457-AB253D2E250E}" name="Estimated effort (in weeks)"/>
    <tableColumn id="3" xr3:uid="{79386AF8-23C0-7245-8A04-967706320B57}" name="One-time value ($)" dataDxfId="14" dataCellStyle="Currency"/>
    <tableColumn id="4" xr3:uid="{14B64C27-F8B8-E943-86CF-E9F12A346E1C}" name="CD3"/>
    <tableColumn id="5" xr3:uid="{B3557DB3-C5B8-154D-8E15-AA7D29ED7ECD}" name="Cost" dataDxfId="13">
      <calculatedColumnFormula>Table134[[#This Row],[Estimated effort (in weeks)]]*Table134[[#This Row],[One-time value ($)]]</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DDC4F90-5415-5640-B572-E60520AF557D}" name="Table4" displayName="Table4" ref="A68:B72" totalsRowShown="0">
  <autoFilter ref="A68:B72" xr:uid="{DDDC4F90-5415-5640-B572-E60520AF557D}"/>
  <sortState xmlns:xlrd2="http://schemas.microsoft.com/office/spreadsheetml/2017/richdata2" ref="A69:B72">
    <sortCondition ref="B68:B72"/>
  </sortState>
  <tableColumns count="2">
    <tableColumn id="1" xr3:uid="{DB538BAD-2881-2C4C-94E0-D3084CE54B5F}" name="Prioritisation Option"/>
    <tableColumn id="2" xr3:uid="{F5727D18-A456-6E49-AF27-1A72CF0F70E2}" name="Cost of Delay" dataDxfId="1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FFCCE34-E2D9-F349-9A74-88032D150A76}" name="Table5" displayName="Table5" ref="A3:D7" totalsRowShown="0">
  <autoFilter ref="A3:D7" xr:uid="{2FFCCE34-E2D9-F349-9A74-88032D150A76}"/>
  <tableColumns count="4">
    <tableColumn id="1" xr3:uid="{A7A89E7F-1033-AC4B-A7A5-8A673DA825F0}" name="Initative"/>
    <tableColumn id="2" xr3:uid="{651FB1BB-AE0D-C543-83A9-42E56BE655C5}" name="Estimated effort (in weeks)"/>
    <tableColumn id="3" xr3:uid="{A3E39626-87CB-6444-AB7B-6B42F213ECA8}" name="One-time value ($)" dataDxfId="11" dataCellStyle="Currency"/>
    <tableColumn id="4" xr3:uid="{7782E7A3-66D5-214A-8DE6-675BBFA7CA22}" name="CD3 - Cost of Delay / Duration" dataDxfId="10">
      <calculatedColumnFormula>(C4/B4)/1000</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5E9A4EA-23DD-8C42-881B-DC969CB612D8}" name="Table6" displayName="Table6" ref="B2:C5" totalsRowShown="0">
  <autoFilter ref="B2:C5" xr:uid="{85E9A4EA-23DD-8C42-881B-DC969CB612D8}"/>
  <tableColumns count="2">
    <tableColumn id="1" xr3:uid="{7088AE28-949B-B14A-9102-549000F79A2A}" name="Assumptions" dataDxfId="9"/>
    <tableColumn id="2" xr3:uid="{0930F627-9D80-F443-B962-1B78285ADDF6}" name="Data"/>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471E132-EDE0-8A4E-A440-9893C6A26499}" name="Table59" displayName="Table59" ref="B7:M11" totalsRowShown="0">
  <autoFilter ref="B7:M11" xr:uid="{4471E132-EDE0-8A4E-A440-9893C6A26499}"/>
  <tableColumns count="12">
    <tableColumn id="1" xr3:uid="{E564B80B-696D-1945-8654-F50FFACEB7FB}" name="Initative"/>
    <tableColumn id="2" xr3:uid="{930A42DB-54FD-DC46-93E2-76A8B33BF33D}" name="Estimated effort (in weeks)"/>
    <tableColumn id="8" xr3:uid="{311AE942-9E94-4240-A11F-D32230EA13BE}" name="Probability of success (%)" dataCellStyle="Per cent"/>
    <tableColumn id="6" xr3:uid="{1C4FDA4D-6E29-5D47-85F2-4F8573D6D5C4}" name="Recurring value ($)" dataDxfId="8" dataCellStyle="Currency"/>
    <tableColumn id="7" xr3:uid="{01549E94-0D11-034E-B1E2-C9CB0C2FE4D5}" name="Recurring penalty ($)" dataDxfId="7" dataCellStyle="Currency"/>
    <tableColumn id="3" xr3:uid="{E39F3031-3047-9B4A-B6AD-51C1F5F538E7}" name="One-time value ($)" dataDxfId="6" dataCellStyle="Currency"/>
    <tableColumn id="9" xr3:uid="{D3C89432-7F15-3B4C-87BD-C1CB7A556A46}" name="Cost of delay per week" dataDxfId="5">
      <calculatedColumnFormula>(Table59[[#This Row],[Recurring value ($)]]+Table59[[#This Row],[Recurring penalty ($)]])*Table59[[#This Row],[Probability of success (%)]]</calculatedColumnFormula>
    </tableColumn>
    <tableColumn id="17" xr3:uid="{79D31FEA-3ECB-2142-B57E-0893A41BDC95}" name="One-time delivery benefit ($)" dataDxfId="4">
      <calculatedColumnFormula>IFERROR(Table59[[#This Row],[One-time value ($)]]*Table59[[#This Row],[Probability of success (%)]]*(1+$C$5)^(-Table59[[#This Row],[Estimated effort (in weeks)]]),"")</calculatedColumnFormula>
    </tableColumn>
    <tableColumn id="10" xr3:uid="{AE701049-B880-2C43-919E-5348E4621C30}" name="CD3 Value" dataDxfId="3">
      <calculatedColumnFormula>IF(OR($B8="",$C8=0),"",$H8/$C8)/1000</calculatedColumnFormula>
    </tableColumn>
    <tableColumn id="16" xr3:uid="{66434B31-6572-F742-AEB5-1B96AE28CA6B}" name="Delay + (4 weeks)" dataDxfId="2" dataCellStyle="Currency">
      <calculatedColumnFormula>IFERROR(
 (Table59[[#This Row],[Cost of delay per week]]*((1-(1+$C$5)^(-4))/$C$5))
 + (Table59[[#This Row],[One-time delivery benefit ($)]]*(1+$C$5)^(-4)),"")</calculatedColumnFormula>
    </tableColumn>
    <tableColumn id="18" xr3:uid="{2C2ED7BE-79EC-914C-AA31-34461C60A989}" name="Delay + (8 weeks)" dataDxfId="1" dataCellStyle="Currency">
      <calculatedColumnFormula>IFERROR(
 (Table59[[#This Row],[Cost of delay per week]]*((1-(1+$C$5)^(-8))/$C$5))
 + (Table59[[#This Row],[One-time delivery benefit ($)]]*(1+$C$5)^(-8)),"")</calculatedColumnFormula>
    </tableColumn>
    <tableColumn id="19" xr3:uid="{B538E7B9-1B68-5B4B-ADAC-BCEF15FC06A1}" name="Delay + (12 weeks)" dataDxfId="0" dataCellStyle="Currency">
      <calculatedColumnFormula>IFERROR(
 (Table59[[#This Row],[Cost of delay per week]]*((1-(1+$C$5)^(-12))/$C$5))
 + (Table59[[#This Row],[One-time delivery benefit ($)]]*(1+$C$5)^(-12)),"")</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 Id="rId5" Type="http://schemas.openxmlformats.org/officeDocument/2006/relationships/table" Target="../tables/table5.xml"/><Relationship Id="rId4" Type="http://schemas.openxmlformats.org/officeDocument/2006/relationships/table" Target="../tables/table4.xml"/></Relationships>
</file>

<file path=xl/worksheets/_rels/sheet2.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97217-0846-464B-9A21-947C365B71B4}">
  <dimension ref="A3:E72"/>
  <sheetViews>
    <sheetView zoomScale="67" zoomScaleNormal="67" workbookViewId="0">
      <selection activeCell="D4" sqref="D4"/>
    </sheetView>
  </sheetViews>
  <sheetFormatPr defaultColWidth="11.42578125" defaultRowHeight="12.95"/>
  <cols>
    <col min="1" max="1" width="25" bestFit="1" customWidth="1"/>
    <col min="2" max="2" width="24.85546875" customWidth="1"/>
    <col min="3" max="3" width="17.85546875" customWidth="1"/>
    <col min="4" max="4" width="27.7109375" customWidth="1"/>
    <col min="5" max="5" width="27.42578125" bestFit="1" customWidth="1"/>
  </cols>
  <sheetData>
    <row r="3" spans="1:4">
      <c r="A3" t="s">
        <v>0</v>
      </c>
      <c r="B3" t="s">
        <v>1</v>
      </c>
      <c r="C3" t="s">
        <v>2</v>
      </c>
      <c r="D3" t="s">
        <v>3</v>
      </c>
    </row>
    <row r="4" spans="1:4">
      <c r="A4" t="s">
        <v>4</v>
      </c>
      <c r="B4">
        <v>4</v>
      </c>
      <c r="C4" s="1">
        <v>1500</v>
      </c>
      <c r="D4">
        <f>(C4/B4)/1000</f>
        <v>0.375</v>
      </c>
    </row>
    <row r="5" spans="1:4">
      <c r="A5" t="s">
        <v>5</v>
      </c>
      <c r="B5">
        <v>2</v>
      </c>
      <c r="C5" s="1">
        <v>2000</v>
      </c>
      <c r="D5">
        <f t="shared" ref="D5:D7" si="0">(C5/B5)/1000</f>
        <v>1</v>
      </c>
    </row>
    <row r="6" spans="1:4">
      <c r="A6" t="s">
        <v>6</v>
      </c>
      <c r="B6">
        <v>10</v>
      </c>
      <c r="C6" s="1">
        <v>8500</v>
      </c>
      <c r="D6">
        <f t="shared" si="0"/>
        <v>0.85</v>
      </c>
    </row>
    <row r="7" spans="1:4">
      <c r="A7" t="s">
        <v>7</v>
      </c>
      <c r="B7">
        <v>8</v>
      </c>
      <c r="C7" s="1">
        <v>6000</v>
      </c>
      <c r="D7">
        <f t="shared" si="0"/>
        <v>0.75</v>
      </c>
    </row>
    <row r="8" spans="1:4">
      <c r="C8" s="1"/>
    </row>
    <row r="11" spans="1:4">
      <c r="A11" s="3" t="s">
        <v>8</v>
      </c>
    </row>
    <row r="12" spans="1:4">
      <c r="A12" t="s">
        <v>9</v>
      </c>
    </row>
    <row r="13" spans="1:4">
      <c r="A13" t="s">
        <v>10</v>
      </c>
    </row>
    <row r="16" spans="1:4">
      <c r="A16" t="s">
        <v>0</v>
      </c>
      <c r="B16" t="s">
        <v>1</v>
      </c>
      <c r="C16" t="s">
        <v>2</v>
      </c>
      <c r="D16" t="s">
        <v>3</v>
      </c>
    </row>
    <row r="17" spans="1:4">
      <c r="A17" t="s">
        <v>4</v>
      </c>
      <c r="B17">
        <v>4</v>
      </c>
      <c r="C17" s="1">
        <v>1500</v>
      </c>
      <c r="D17">
        <f>(C17/B17)/1000</f>
        <v>0.375</v>
      </c>
    </row>
    <row r="18" spans="1:4">
      <c r="A18" t="s">
        <v>5</v>
      </c>
      <c r="B18">
        <v>2</v>
      </c>
      <c r="C18" s="1">
        <v>2000</v>
      </c>
      <c r="D18">
        <f t="shared" ref="D18:D20" si="1">(C18/B18)/1000</f>
        <v>1</v>
      </c>
    </row>
    <row r="19" spans="1:4">
      <c r="A19" t="s">
        <v>6</v>
      </c>
      <c r="B19">
        <v>10</v>
      </c>
      <c r="C19" s="1">
        <v>8500</v>
      </c>
      <c r="D19">
        <f t="shared" si="1"/>
        <v>0.85</v>
      </c>
    </row>
    <row r="20" spans="1:4">
      <c r="A20" t="s">
        <v>7</v>
      </c>
      <c r="B20">
        <v>8</v>
      </c>
      <c r="C20" s="1">
        <v>6000</v>
      </c>
      <c r="D20">
        <f t="shared" si="1"/>
        <v>0.75</v>
      </c>
    </row>
    <row r="21" spans="1:4">
      <c r="A21" s="3" t="s">
        <v>11</v>
      </c>
      <c r="B21" s="3">
        <f>SUM(B17:B20)</f>
        <v>24</v>
      </c>
      <c r="C21" s="4">
        <f>SUM(C17:C20)</f>
        <v>18000</v>
      </c>
      <c r="D21" s="3"/>
    </row>
    <row r="23" spans="1:4">
      <c r="A23" s="3" t="s">
        <v>12</v>
      </c>
      <c r="B23">
        <f>SUM(B17:B20)</f>
        <v>24</v>
      </c>
    </row>
    <row r="24" spans="1:4">
      <c r="A24" s="3" t="s">
        <v>13</v>
      </c>
      <c r="B24" s="1">
        <f>B21*C21</f>
        <v>432000</v>
      </c>
    </row>
    <row r="26" spans="1:4">
      <c r="A26" s="3" t="s">
        <v>14</v>
      </c>
    </row>
    <row r="27" spans="1:4">
      <c r="A27" s="5" t="s">
        <v>15</v>
      </c>
    </row>
    <row r="28" spans="1:4">
      <c r="A28" s="5" t="s">
        <v>16</v>
      </c>
    </row>
    <row r="30" spans="1:4">
      <c r="A30" t="s">
        <v>0</v>
      </c>
      <c r="B30" t="s">
        <v>1</v>
      </c>
      <c r="C30" t="s">
        <v>2</v>
      </c>
      <c r="D30" t="s">
        <v>17</v>
      </c>
    </row>
    <row r="31" spans="1:4">
      <c r="A31" t="s">
        <v>5</v>
      </c>
      <c r="B31">
        <v>2</v>
      </c>
      <c r="C31" s="1">
        <v>2000</v>
      </c>
      <c r="D31" s="2">
        <f>Table1[[#This Row],[Estimated effort (in weeks)]]*Table1[[#This Row],[One-time value ($)]]</f>
        <v>4000</v>
      </c>
    </row>
    <row r="32" spans="1:4">
      <c r="A32" t="s">
        <v>4</v>
      </c>
      <c r="B32">
        <v>4</v>
      </c>
      <c r="C32" s="1">
        <v>1500</v>
      </c>
      <c r="D32" s="2">
        <f>(B31+Table1[[#This Row],[Estimated effort (in weeks)]])*Table1[[#This Row],[One-time value ($)]]</f>
        <v>9000</v>
      </c>
    </row>
    <row r="33" spans="1:4">
      <c r="A33" t="s">
        <v>7</v>
      </c>
      <c r="B33">
        <v>8</v>
      </c>
      <c r="C33" s="1">
        <v>6000</v>
      </c>
      <c r="D33" s="2">
        <f>(B32+B31+Table1[[#This Row],[Estimated effort (in weeks)]])*Table1[[#This Row],[One-time value ($)]]</f>
        <v>84000</v>
      </c>
    </row>
    <row r="34" spans="1:4">
      <c r="A34" t="s">
        <v>6</v>
      </c>
      <c r="B34">
        <v>10</v>
      </c>
      <c r="C34" s="1">
        <v>8500</v>
      </c>
      <c r="D34" s="2">
        <f>(B31+B32+B33+Table1[[#This Row],[Estimated effort (in weeks)]])*Table1[[#This Row],[One-time value ($)]]</f>
        <v>204000</v>
      </c>
    </row>
    <row r="36" spans="1:4">
      <c r="A36" s="3" t="s">
        <v>12</v>
      </c>
      <c r="B36">
        <f>SUM(B31:B34)</f>
        <v>24</v>
      </c>
    </row>
    <row r="37" spans="1:4">
      <c r="A37" s="3" t="s">
        <v>13</v>
      </c>
      <c r="B37" s="1">
        <f>SUM(Table1[Cost])</f>
        <v>301000</v>
      </c>
    </row>
    <row r="39" spans="1:4">
      <c r="A39" s="3" t="s">
        <v>18</v>
      </c>
    </row>
    <row r="40" spans="1:4">
      <c r="A40" s="5" t="s">
        <v>19</v>
      </c>
    </row>
    <row r="41" spans="1:4">
      <c r="A41" s="5" t="s">
        <v>20</v>
      </c>
    </row>
    <row r="43" spans="1:4">
      <c r="A43" t="s">
        <v>0</v>
      </c>
      <c r="B43" t="s">
        <v>1</v>
      </c>
      <c r="C43" t="s">
        <v>2</v>
      </c>
      <c r="D43" t="s">
        <v>17</v>
      </c>
    </row>
    <row r="44" spans="1:4">
      <c r="A44" t="s">
        <v>6</v>
      </c>
      <c r="B44">
        <v>10</v>
      </c>
      <c r="C44" s="1">
        <v>8500</v>
      </c>
      <c r="D44" s="2">
        <f>Table13[[#This Row],[Estimated effort (in weeks)]]*Table13[[#This Row],[One-time value ($)]]</f>
        <v>85000</v>
      </c>
    </row>
    <row r="45" spans="1:4">
      <c r="A45" t="s">
        <v>7</v>
      </c>
      <c r="B45">
        <v>8</v>
      </c>
      <c r="C45" s="1">
        <v>6000</v>
      </c>
      <c r="D45" s="2">
        <f>(B44+Table13[[#This Row],[Estimated effort (in weeks)]])*Table13[[#This Row],[One-time value ($)]]</f>
        <v>108000</v>
      </c>
    </row>
    <row r="46" spans="1:4">
      <c r="A46" t="s">
        <v>5</v>
      </c>
      <c r="B46">
        <v>2</v>
      </c>
      <c r="C46" s="1">
        <v>2000</v>
      </c>
      <c r="D46" s="2">
        <f>(B44+B45+Table13[[#This Row],[Estimated effort (in weeks)]])*Table13[[#This Row],[One-time value ($)]]</f>
        <v>40000</v>
      </c>
    </row>
    <row r="47" spans="1:4">
      <c r="A47" t="s">
        <v>4</v>
      </c>
      <c r="B47">
        <v>4</v>
      </c>
      <c r="C47" s="1">
        <v>1500</v>
      </c>
      <c r="D47" s="2">
        <f>(B44+B45+B46+Table13[[#This Row],[Estimated effort (in weeks)]])*Table13[[#This Row],[One-time value ($)]]</f>
        <v>36000</v>
      </c>
    </row>
    <row r="49" spans="1:5">
      <c r="A49" s="3" t="s">
        <v>12</v>
      </c>
      <c r="B49">
        <f>SUM(B44:B47)</f>
        <v>24</v>
      </c>
    </row>
    <row r="50" spans="1:5">
      <c r="A50" s="3" t="s">
        <v>13</v>
      </c>
      <c r="B50" s="1">
        <f>SUM(Table13[Cost])</f>
        <v>269000</v>
      </c>
    </row>
    <row r="52" spans="1:5">
      <c r="A52" s="3" t="s">
        <v>21</v>
      </c>
    </row>
    <row r="53" spans="1:5">
      <c r="A53" s="5" t="s">
        <v>22</v>
      </c>
    </row>
    <row r="54" spans="1:5">
      <c r="A54" s="5" t="s">
        <v>20</v>
      </c>
    </row>
    <row r="56" spans="1:5">
      <c r="A56" t="s">
        <v>0</v>
      </c>
      <c r="B56" t="s">
        <v>1</v>
      </c>
      <c r="C56" t="s">
        <v>2</v>
      </c>
      <c r="D56" t="s">
        <v>23</v>
      </c>
      <c r="E56" t="s">
        <v>17</v>
      </c>
    </row>
    <row r="57" spans="1:5">
      <c r="A57" t="s">
        <v>5</v>
      </c>
      <c r="B57">
        <v>2</v>
      </c>
      <c r="C57" s="1">
        <v>2000</v>
      </c>
      <c r="D57" s="6">
        <v>1</v>
      </c>
      <c r="E57" s="2">
        <f>Table134[[#This Row],[Estimated effort (in weeks)]]*Table134[[#This Row],[One-time value ($)]]</f>
        <v>4000</v>
      </c>
    </row>
    <row r="58" spans="1:5">
      <c r="A58" t="s">
        <v>6</v>
      </c>
      <c r="B58">
        <v>10</v>
      </c>
      <c r="C58" s="1">
        <v>8500</v>
      </c>
      <c r="D58" s="6">
        <v>0.85</v>
      </c>
      <c r="E58" s="2">
        <f>(B57+Table134[[#This Row],[Estimated effort (in weeks)]])*Table134[[#This Row],[One-time value ($)]]</f>
        <v>102000</v>
      </c>
    </row>
    <row r="59" spans="1:5">
      <c r="A59" t="s">
        <v>7</v>
      </c>
      <c r="B59">
        <v>8</v>
      </c>
      <c r="C59" s="1">
        <v>6000</v>
      </c>
      <c r="D59" s="6">
        <v>0.75</v>
      </c>
      <c r="E59" s="2">
        <f>(B57+B58+Table134[[#This Row],[Estimated effort (in weeks)]])*Table134[[#This Row],[One-time value ($)]]</f>
        <v>120000</v>
      </c>
    </row>
    <row r="60" spans="1:5">
      <c r="A60" t="s">
        <v>4</v>
      </c>
      <c r="B60">
        <v>4</v>
      </c>
      <c r="C60" s="1">
        <v>1500</v>
      </c>
      <c r="D60" s="6">
        <v>0.375</v>
      </c>
      <c r="E60" s="2">
        <f>(B57+B58+B59+Table134[[#This Row],[Estimated effort (in weeks)]])*Table134[[#This Row],[One-time value ($)]]</f>
        <v>36000</v>
      </c>
    </row>
    <row r="62" spans="1:5">
      <c r="A62" s="3" t="s">
        <v>12</v>
      </c>
      <c r="B62">
        <f>SUM(B57:B60)</f>
        <v>24</v>
      </c>
    </row>
    <row r="63" spans="1:5">
      <c r="A63" s="3" t="s">
        <v>13</v>
      </c>
      <c r="B63" s="1">
        <f>SUM(Table134[Cost])</f>
        <v>262000</v>
      </c>
    </row>
    <row r="65" spans="1:2">
      <c r="A65" s="3" t="s">
        <v>24</v>
      </c>
    </row>
    <row r="66" spans="1:2">
      <c r="A66" t="s">
        <v>25</v>
      </c>
    </row>
    <row r="68" spans="1:2">
      <c r="A68" t="s">
        <v>26</v>
      </c>
      <c r="B68" t="s">
        <v>13</v>
      </c>
    </row>
    <row r="69" spans="1:2">
      <c r="A69" t="s">
        <v>21</v>
      </c>
      <c r="B69" s="2">
        <v>262000</v>
      </c>
    </row>
    <row r="70" spans="1:2">
      <c r="A70" t="s">
        <v>18</v>
      </c>
      <c r="B70" s="2">
        <v>269000</v>
      </c>
    </row>
    <row r="71" spans="1:2">
      <c r="A71" t="s">
        <v>14</v>
      </c>
      <c r="B71" s="2">
        <v>301000</v>
      </c>
    </row>
    <row r="72" spans="1:2">
      <c r="A72" t="s">
        <v>8</v>
      </c>
      <c r="B72" s="2">
        <v>432000</v>
      </c>
    </row>
  </sheetData>
  <pageMargins left="0.7" right="0.7" top="0.75" bottom="0.75" header="0.3" footer="0.3"/>
  <tableParts count="5">
    <tablePart r:id="rId1"/>
    <tablePart r:id="rId2"/>
    <tablePart r:id="rId3"/>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8132D-5CA5-234F-8010-A5BE88B1266C}">
  <dimension ref="B2:M14"/>
  <sheetViews>
    <sheetView tabSelected="1" zoomScale="87" zoomScaleNormal="133" workbookViewId="0">
      <selection activeCell="G26" sqref="G26"/>
    </sheetView>
  </sheetViews>
  <sheetFormatPr defaultColWidth="11.42578125" defaultRowHeight="12.95"/>
  <cols>
    <col min="2" max="2" width="16.42578125" customWidth="1"/>
    <col min="3" max="3" width="15.28515625" customWidth="1"/>
    <col min="4" max="4" width="25.42578125" customWidth="1"/>
    <col min="5" max="5" width="20.28515625" customWidth="1"/>
    <col min="6" max="6" width="19" customWidth="1"/>
    <col min="7" max="7" width="17.7109375" customWidth="1"/>
    <col min="8" max="8" width="24" customWidth="1"/>
    <col min="9" max="9" width="25.28515625" customWidth="1"/>
    <col min="11" max="11" width="21.140625" customWidth="1"/>
    <col min="12" max="12" width="19.42578125" customWidth="1"/>
    <col min="13" max="13" width="18" bestFit="1" customWidth="1"/>
    <col min="14" max="14" width="27.42578125" bestFit="1" customWidth="1"/>
    <col min="15" max="15" width="20.28515625" customWidth="1"/>
  </cols>
  <sheetData>
    <row r="2" spans="2:13">
      <c r="B2" s="3" t="s">
        <v>27</v>
      </c>
      <c r="C2" t="s">
        <v>28</v>
      </c>
    </row>
    <row r="3" spans="2:13">
      <c r="B3" s="5" t="s">
        <v>29</v>
      </c>
      <c r="C3">
        <v>52</v>
      </c>
      <c r="D3" s="12" t="s">
        <v>30</v>
      </c>
    </row>
    <row r="4" spans="2:13">
      <c r="B4" s="5" t="s">
        <v>31</v>
      </c>
      <c r="C4" s="8">
        <v>0.1</v>
      </c>
      <c r="D4" s="12" t="s">
        <v>32</v>
      </c>
    </row>
    <row r="5" spans="2:13">
      <c r="B5" s="5" t="s">
        <v>33</v>
      </c>
      <c r="C5" s="11">
        <f>(1+$C$4)^(1/52)-1</f>
        <v>1.8345688392329418E-3</v>
      </c>
      <c r="D5" s="12" t="s">
        <v>34</v>
      </c>
    </row>
    <row r="7" spans="2:13">
      <c r="B7" t="s">
        <v>0</v>
      </c>
      <c r="C7" t="s">
        <v>1</v>
      </c>
      <c r="D7" t="s">
        <v>35</v>
      </c>
      <c r="E7" t="s">
        <v>36</v>
      </c>
      <c r="F7" t="s">
        <v>37</v>
      </c>
      <c r="G7" t="s">
        <v>2</v>
      </c>
      <c r="H7" t="s">
        <v>38</v>
      </c>
      <c r="I7" t="s">
        <v>39</v>
      </c>
      <c r="J7" t="s">
        <v>40</v>
      </c>
      <c r="K7" t="s">
        <v>41</v>
      </c>
      <c r="L7" t="s">
        <v>42</v>
      </c>
      <c r="M7" t="s">
        <v>43</v>
      </c>
    </row>
    <row r="8" spans="2:13">
      <c r="B8" t="s">
        <v>4</v>
      </c>
      <c r="C8">
        <v>4</v>
      </c>
      <c r="D8" s="10">
        <v>0.8</v>
      </c>
      <c r="E8" s="1">
        <v>1000</v>
      </c>
      <c r="F8" s="1">
        <v>500</v>
      </c>
      <c r="G8" s="1">
        <v>10000</v>
      </c>
      <c r="H8" s="2">
        <f>(Table59[[#This Row],[Recurring value ($)]]+Table59[[#This Row],[Recurring penalty ($)]])*Table59[[#This Row],[Probability of success (%)]]</f>
        <v>1200</v>
      </c>
      <c r="I8" s="2">
        <f>IFERROR(Table59[[#This Row],[One-time value ($)]]*Table59[[#This Row],[Probability of success (%)]]*(1+$C$5)^(-Table59[[#This Row],[Estimated effort (in weeks)]]),"")</f>
        <v>7941.5620638124919</v>
      </c>
      <c r="J8" s="9">
        <f>IF(OR($B8="",$C8=0),"",$H8/$C8)/1000</f>
        <v>0.3</v>
      </c>
      <c r="K8" s="1">
        <f>IFERROR(
 (Table59[[#This Row],[Cost of delay per week]]*((1-(1+$C$5)^(-4))/$C$5))
 + (Table59[[#This Row],[One-time delivery benefit ($)]]*(1+$C$5)^(-4)),"")</f>
        <v>12661.616692460444</v>
      </c>
      <c r="L8" s="1">
        <f>IFERROR(
 (Table59[[#This Row],[Cost of delay per week]]*((1-(1+$C$5)^(-8))/$C$5))
 + (Table59[[#This Row],[One-time delivery benefit ($)]]*(1+$C$5)^(-8)),"")</f>
        <v>17347.192539709504</v>
      </c>
      <c r="M8" s="1">
        <f>IFERROR(
 (Table59[[#This Row],[Cost of delay per week]]*((1-(1+$C$5)^(-12))/$C$5))
 + (Table59[[#This Row],[One-time delivery benefit ($)]]*(1+$C$5)^(-12)),"")</f>
        <v>21998.541464163252</v>
      </c>
    </row>
    <row r="9" spans="2:13">
      <c r="B9" t="s">
        <v>5</v>
      </c>
      <c r="C9">
        <v>2</v>
      </c>
      <c r="D9" s="10">
        <v>0.9</v>
      </c>
      <c r="E9" s="1">
        <v>5000</v>
      </c>
      <c r="F9" s="1"/>
      <c r="G9" s="1">
        <v>2000</v>
      </c>
      <c r="H9" s="2">
        <f>(Table59[[#This Row],[Recurring value ($)]]+Table59[[#This Row],[Recurring penalty ($)]])*Table59[[#This Row],[Probability of success (%)]]</f>
        <v>4500</v>
      </c>
      <c r="I9" s="2">
        <f>IFERROR(Table59[[#This Row],[One-time value ($)]]*Table59[[#This Row],[Probability of success (%)]]*(1+$C$5)^(-Table59[[#This Row],[Estimated effort (in weeks)]]),"")</f>
        <v>1793.4136822953201</v>
      </c>
      <c r="J9" s="9">
        <f t="shared" ref="J8:J11" si="0">IF(OR($B9="",$C9=0),"",$H9/$C9)/1000</f>
        <v>2.25</v>
      </c>
      <c r="K9" s="1">
        <f>IFERROR(
 (Table59[[#This Row],[Cost of delay per week]]*((1-(1+$C$5)^(-4))/$C$5))
 + (Table59[[#This Row],[One-time delivery benefit ($)]]*(1+$C$5)^(-4)),"")</f>
        <v>19698.059598456959</v>
      </c>
      <c r="L9" s="1">
        <f>IFERROR(
 (Table59[[#This Row],[Cost of delay per week]]*((1-(1+$C$5)^(-8))/$C$5))
 + (Table59[[#This Row],[One-time delivery benefit ($)]]*(1+$C$5)^(-8)),"")</f>
        <v>37471.916695179701</v>
      </c>
      <c r="M9" s="1">
        <f>IFERROR(
 (Table59[[#This Row],[Cost of delay per week]]*((1-(1+$C$5)^(-12))/$C$5))
 + (Table59[[#This Row],[One-time delivery benefit ($)]]*(1+$C$5)^(-12)),"")</f>
        <v>55115.940351049794</v>
      </c>
    </row>
    <row r="10" spans="2:13">
      <c r="B10" t="s">
        <v>6</v>
      </c>
      <c r="C10">
        <v>10</v>
      </c>
      <c r="D10" s="10">
        <v>0.5</v>
      </c>
      <c r="E10" s="1">
        <v>4500</v>
      </c>
      <c r="F10" s="1"/>
      <c r="G10" s="1">
        <v>25000</v>
      </c>
      <c r="H10" s="2">
        <f>(Table59[[#This Row],[Recurring value ($)]]+Table59[[#This Row],[Recurring penalty ($)]])*Table59[[#This Row],[Probability of success (%)]]</f>
        <v>2250</v>
      </c>
      <c r="I10" s="2">
        <f>IFERROR(Table59[[#This Row],[One-time value ($)]]*Table59[[#This Row],[Probability of success (%)]]*(1+$C$5)^(-Table59[[#This Row],[Estimated effort (in weeks)]]),"")</f>
        <v>12272.975895376494</v>
      </c>
      <c r="J10" s="9">
        <f t="shared" si="0"/>
        <v>0.22500000000000001</v>
      </c>
      <c r="K10" s="1">
        <f>IFERROR(
 (Table59[[#This Row],[Cost of delay per week]]*((1-(1+$C$5)^(-4))/$C$5))
 + (Table59[[#This Row],[One-time delivery benefit ($)]]*(1+$C$5)^(-4)),"")</f>
        <v>21142.198142826943</v>
      </c>
      <c r="L10" s="1">
        <f>IFERROR(
 (Table59[[#This Row],[Cost of delay per week]]*((1-(1+$C$5)^(-8))/$C$5))
 + (Table59[[#This Row],[One-time delivery benefit ($)]]*(1+$C$5)^(-8)),"")</f>
        <v>29946.63300981107</v>
      </c>
      <c r="M10" s="1">
        <f>IFERROR(
 (Table59[[#This Row],[Cost of delay per week]]*((1-(1+$C$5)^(-12))/$C$5))
 + (Table59[[#This Row],[One-time delivery benefit ($)]]*(1+$C$5)^(-12)),"")</f>
        <v>38686.753751429889</v>
      </c>
    </row>
    <row r="11" spans="2:13">
      <c r="B11" t="s">
        <v>7</v>
      </c>
      <c r="C11">
        <v>8</v>
      </c>
      <c r="D11" s="10">
        <v>0.7</v>
      </c>
      <c r="E11" s="1"/>
      <c r="F11" s="1">
        <v>10000</v>
      </c>
      <c r="G11" s="1"/>
      <c r="H11" s="2">
        <f>(Table59[[#This Row],[Recurring value ($)]]+Table59[[#This Row],[Recurring penalty ($)]])*Table59[[#This Row],[Probability of success (%)]]</f>
        <v>7000</v>
      </c>
      <c r="I11" s="2">
        <f>IFERROR(Table59[[#This Row],[One-time value ($)]]*Table59[[#This Row],[Probability of success (%)]]*(1+$C$5)^(-Table59[[#This Row],[Estimated effort (in weeks)]]),"")</f>
        <v>0</v>
      </c>
      <c r="J11" s="9">
        <f t="shared" si="0"/>
        <v>0.875</v>
      </c>
      <c r="K11" s="1">
        <f>IFERROR(
 (Table59[[#This Row],[Cost of delay per week]]*((1-(1+$C$5)^(-4))/$C$5))
 + (Table59[[#This Row],[One-time delivery benefit ($)]]*(1+$C$5)^(-4)),"")</f>
        <v>27872.049862925505</v>
      </c>
      <c r="L11" s="1">
        <f>IFERROR(
 (Table59[[#This Row],[Cost of delay per week]]*((1-(1+$C$5)^(-8))/$C$5))
 + (Table59[[#This Row],[One-time delivery benefit ($)]]*(1+$C$5)^(-8)),"")</f>
        <v>55540.501591937427</v>
      </c>
      <c r="M11" s="1">
        <f>IFERROR(
 (Table59[[#This Row],[Cost of delay per week]]*((1-(1+$C$5)^(-12))/$C$5))
 + (Table59[[#This Row],[One-time delivery benefit ($)]]*(1+$C$5)^(-12)),"")</f>
        <v>83006.842418881526</v>
      </c>
    </row>
    <row r="14" spans="2:13">
      <c r="B14" s="7"/>
    </row>
  </sheetData>
  <phoneticPr fontId="6" type="noConversion"/>
  <pageMargins left="0.7" right="0.7" top="0.75" bottom="0.75" header="0.3" footer="0.3"/>
  <drawing r:id="rId1"/>
  <tableParts count="2">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Charlotte Meszaros</dc:creator>
  <cp:keywords/>
  <dc:description/>
  <cp:lastModifiedBy/>
  <cp:revision/>
  <dcterms:created xsi:type="dcterms:W3CDTF">2026-01-13T23:15:46Z</dcterms:created>
  <dcterms:modified xsi:type="dcterms:W3CDTF">2026-01-16T02:53:35Z</dcterms:modified>
  <cp:category/>
  <cp:contentStatus/>
</cp:coreProperties>
</file>